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sta\Desktop\Scuola\Unipi\Magistrale\Neuromorfici\progetto_vmm\data\"/>
    </mc:Choice>
  </mc:AlternateContent>
  <xr:revisionPtr revIDLastSave="0" documentId="13_ncr:1_{A649C2A8-6BE7-4514-BAA3-653485B5C903}" xr6:coauthVersionLast="47" xr6:coauthVersionMax="47" xr10:uidLastSave="{00000000-0000-0000-0000-000000000000}"/>
  <bookViews>
    <workbookView xWindow="-108" yWindow="-108" windowWidth="23256" windowHeight="12456" xr2:uid="{A5D85EAB-87CB-49FD-B0C5-30081F2DA58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</calcChain>
</file>

<file path=xl/sharedStrings.xml><?xml version="1.0" encoding="utf-8"?>
<sst xmlns="http://schemas.openxmlformats.org/spreadsheetml/2006/main" count="4" uniqueCount="4">
  <si>
    <t>SNR [dB]</t>
  </si>
  <si>
    <t>THD [dB]</t>
  </si>
  <si>
    <t xml:space="preserve"> ENOB [bit]</t>
  </si>
  <si>
    <t>Iout/2 [nA]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</si>
</sst>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Foglio1!$E$4</c:f>
              <c:strCache>
                <c:ptCount val="1"/>
                <c:pt idx="0">
                  <c:v>SNR [dB]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Foglio1!$F$5:$F$14</c:f>
              <c:numCache>
                <c:formatCode>General</c:formatCode>
                <c:ptCount val="10"/>
                <c:pt idx="0">
                  <c:v>1</c:v>
                </c:pt>
                <c:pt idx="1">
                  <c:v>1.67</c:v>
                </c:pt>
                <c:pt idx="2">
                  <c:v>2.78</c:v>
                </c:pt>
                <c:pt idx="3">
                  <c:v>4.6399999999999997</c:v>
                </c:pt>
                <c:pt idx="4">
                  <c:v>7.74</c:v>
                </c:pt>
                <c:pt idx="5">
                  <c:v>12.91</c:v>
                </c:pt>
                <c:pt idx="6">
                  <c:v>21.54</c:v>
                </c:pt>
                <c:pt idx="7">
                  <c:v>35.94</c:v>
                </c:pt>
                <c:pt idx="8">
                  <c:v>59.95</c:v>
                </c:pt>
                <c:pt idx="9">
                  <c:v>100</c:v>
                </c:pt>
              </c:numCache>
            </c:numRef>
          </c:xVal>
          <c:yVal>
            <c:numRef>
              <c:f>Foglio1!$E$5:$E$14</c:f>
              <c:numCache>
                <c:formatCode>General</c:formatCode>
                <c:ptCount val="10"/>
                <c:pt idx="0">
                  <c:v>28.11</c:v>
                </c:pt>
                <c:pt idx="1">
                  <c:v>29.26</c:v>
                </c:pt>
                <c:pt idx="2">
                  <c:v>30.4</c:v>
                </c:pt>
                <c:pt idx="3">
                  <c:v>31.52</c:v>
                </c:pt>
                <c:pt idx="4">
                  <c:v>32.6</c:v>
                </c:pt>
                <c:pt idx="5">
                  <c:v>33.630000000000003</c:v>
                </c:pt>
                <c:pt idx="6">
                  <c:v>34.56</c:v>
                </c:pt>
                <c:pt idx="7">
                  <c:v>35.42</c:v>
                </c:pt>
                <c:pt idx="8">
                  <c:v>36.17</c:v>
                </c:pt>
                <c:pt idx="9">
                  <c:v>36.869999999999997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7F-44DA-86B3-0C17B2ED6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990688"/>
        <c:axId val="17229902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Foglio1!$D$4</c15:sqref>
                        </c15:formulaRef>
                      </c:ext>
                    </c:extLst>
                    <c:strCache>
                      <c:ptCount val="1"/>
                      <c:pt idx="0">
                        <c:v>THD [dB]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1.67</c:v>
                      </c:pt>
                      <c:pt idx="2">
                        <c:v>2.78</c:v>
                      </c:pt>
                      <c:pt idx="3">
                        <c:v>4.6399999999999997</c:v>
                      </c:pt>
                      <c:pt idx="4">
                        <c:v>7.74</c:v>
                      </c:pt>
                      <c:pt idx="5">
                        <c:v>12.91</c:v>
                      </c:pt>
                      <c:pt idx="6">
                        <c:v>21.54</c:v>
                      </c:pt>
                      <c:pt idx="7">
                        <c:v>35.94</c:v>
                      </c:pt>
                      <c:pt idx="8">
                        <c:v>59.95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Foglio1!$D$5:$D$16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-39.909999999999997</c:v>
                      </c:pt>
                      <c:pt idx="1">
                        <c:v>-40.04</c:v>
                      </c:pt>
                      <c:pt idx="2">
                        <c:v>-39.89</c:v>
                      </c:pt>
                      <c:pt idx="3">
                        <c:v>-39.64</c:v>
                      </c:pt>
                      <c:pt idx="4">
                        <c:v>-39.409999999999997</c:v>
                      </c:pt>
                      <c:pt idx="5">
                        <c:v>-39.270000000000003</c:v>
                      </c:pt>
                      <c:pt idx="6">
                        <c:v>-39.17</c:v>
                      </c:pt>
                      <c:pt idx="7">
                        <c:v>-38.979999999999997</c:v>
                      </c:pt>
                      <c:pt idx="8">
                        <c:v>-38.5</c:v>
                      </c:pt>
                      <c:pt idx="9">
                        <c:v>-37.68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797F-44DA-86B3-0C17B2ED600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Foglio1!$C$4</c15:sqref>
                        </c15:formulaRef>
                      </c:ext>
                    </c:extLst>
                    <c:strCache>
                      <c:ptCount val="1"/>
                      <c:pt idx="0">
                        <c:v> ENOB [bit]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1.67</c:v>
                      </c:pt>
                      <c:pt idx="2">
                        <c:v>2.78</c:v>
                      </c:pt>
                      <c:pt idx="3">
                        <c:v>4.6399999999999997</c:v>
                      </c:pt>
                      <c:pt idx="4">
                        <c:v>7.74</c:v>
                      </c:pt>
                      <c:pt idx="5">
                        <c:v>12.91</c:v>
                      </c:pt>
                      <c:pt idx="6">
                        <c:v>21.54</c:v>
                      </c:pt>
                      <c:pt idx="7">
                        <c:v>35.94</c:v>
                      </c:pt>
                      <c:pt idx="8">
                        <c:v>59.95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Foglio1!$C$5:$C$16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4.33092117069907</c:v>
                      </c:pt>
                      <c:pt idx="1">
                        <c:v>4.5102108214375489</c:v>
                      </c:pt>
                      <c:pt idx="2">
                        <c:v>4.6805903679917868</c:v>
                      </c:pt>
                      <c:pt idx="3">
                        <c:v>4.8400833909055772</c:v>
                      </c:pt>
                      <c:pt idx="4">
                        <c:v>4.9863316305655783</c:v>
                      </c:pt>
                      <c:pt idx="5">
                        <c:v>5.1199443048701241</c:v>
                      </c:pt>
                      <c:pt idx="6">
                        <c:v>5.2341769113594996</c:v>
                      </c:pt>
                      <c:pt idx="7">
                        <c:v>5.3280235830081688</c:v>
                      </c:pt>
                      <c:pt idx="8">
                        <c:v>5.3837678651052183</c:v>
                      </c:pt>
                      <c:pt idx="9">
                        <c:v>5.3963194808571213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97F-44DA-86B3-0C17B2ED600F}"/>
                  </c:ext>
                </c:extLst>
              </c15:ser>
            </c15:filteredScatterSeries>
          </c:ext>
        </c:extLst>
      </c:scatterChart>
      <c:valAx>
        <c:axId val="172299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Iout/2 [nA]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208"/>
        <c:crosses val="autoZero"/>
        <c:crossBetween val="midCat"/>
      </c:valAx>
      <c:valAx>
        <c:axId val="172299020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SNR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strRef>
              <c:f>Foglio1!$D$4</c:f>
              <c:strCache>
                <c:ptCount val="1"/>
                <c:pt idx="0">
                  <c:v>THD [dB]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Foglio1!$F$5:$F$14</c:f>
              <c:numCache>
                <c:formatCode>General</c:formatCode>
                <c:ptCount val="10"/>
                <c:pt idx="0">
                  <c:v>1</c:v>
                </c:pt>
                <c:pt idx="1">
                  <c:v>1.67</c:v>
                </c:pt>
                <c:pt idx="2">
                  <c:v>2.78</c:v>
                </c:pt>
                <c:pt idx="3">
                  <c:v>4.6399999999999997</c:v>
                </c:pt>
                <c:pt idx="4">
                  <c:v>7.74</c:v>
                </c:pt>
                <c:pt idx="5">
                  <c:v>12.91</c:v>
                </c:pt>
                <c:pt idx="6">
                  <c:v>21.54</c:v>
                </c:pt>
                <c:pt idx="7">
                  <c:v>35.94</c:v>
                </c:pt>
                <c:pt idx="8">
                  <c:v>59.95</c:v>
                </c:pt>
                <c:pt idx="9">
                  <c:v>100</c:v>
                </c:pt>
              </c:numCache>
            </c:numRef>
          </c:xVal>
          <c:yVal>
            <c:numRef>
              <c:f>Foglio1!$D$5:$D$14</c:f>
              <c:numCache>
                <c:formatCode>General</c:formatCode>
                <c:ptCount val="10"/>
                <c:pt idx="0">
                  <c:v>-39.909999999999997</c:v>
                </c:pt>
                <c:pt idx="1">
                  <c:v>-40.04</c:v>
                </c:pt>
                <c:pt idx="2">
                  <c:v>-39.89</c:v>
                </c:pt>
                <c:pt idx="3">
                  <c:v>-39.64</c:v>
                </c:pt>
                <c:pt idx="4">
                  <c:v>-39.409999999999997</c:v>
                </c:pt>
                <c:pt idx="5">
                  <c:v>-39.270000000000003</c:v>
                </c:pt>
                <c:pt idx="6">
                  <c:v>-39.17</c:v>
                </c:pt>
                <c:pt idx="7">
                  <c:v>-38.979999999999997</c:v>
                </c:pt>
                <c:pt idx="8">
                  <c:v>-38.5</c:v>
                </c:pt>
                <c:pt idx="9">
                  <c:v>-37.68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5A-4FF5-8160-8D60C9A03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990688"/>
        <c:axId val="17229902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Foglio1!$E$4</c15:sqref>
                        </c15:formulaRef>
                      </c:ext>
                    </c:extLst>
                    <c:strCache>
                      <c:ptCount val="1"/>
                      <c:pt idx="0">
                        <c:v>SNR [dB]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Foglio1!$F$5:$F$14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1.67</c:v>
                      </c:pt>
                      <c:pt idx="2">
                        <c:v>2.78</c:v>
                      </c:pt>
                      <c:pt idx="3">
                        <c:v>4.6399999999999997</c:v>
                      </c:pt>
                      <c:pt idx="4">
                        <c:v>7.74</c:v>
                      </c:pt>
                      <c:pt idx="5">
                        <c:v>12.91</c:v>
                      </c:pt>
                      <c:pt idx="6">
                        <c:v>21.54</c:v>
                      </c:pt>
                      <c:pt idx="7">
                        <c:v>35.94</c:v>
                      </c:pt>
                      <c:pt idx="8">
                        <c:v>59.95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Foglio1!$E$5:$E$14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28.11</c:v>
                      </c:pt>
                      <c:pt idx="1">
                        <c:v>29.26</c:v>
                      </c:pt>
                      <c:pt idx="2">
                        <c:v>30.4</c:v>
                      </c:pt>
                      <c:pt idx="3">
                        <c:v>31.52</c:v>
                      </c:pt>
                      <c:pt idx="4">
                        <c:v>32.6</c:v>
                      </c:pt>
                      <c:pt idx="5">
                        <c:v>33.630000000000003</c:v>
                      </c:pt>
                      <c:pt idx="6">
                        <c:v>34.56</c:v>
                      </c:pt>
                      <c:pt idx="7">
                        <c:v>35.42</c:v>
                      </c:pt>
                      <c:pt idx="8">
                        <c:v>36.17</c:v>
                      </c:pt>
                      <c:pt idx="9">
                        <c:v>36.869999999999997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F5A-4FF5-8160-8D60C9A0357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Foglio1!$C$4</c15:sqref>
                        </c15:formulaRef>
                      </c:ext>
                    </c:extLst>
                    <c:strCache>
                      <c:ptCount val="1"/>
                      <c:pt idx="0">
                        <c:v> ENOB [bit]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1.67</c:v>
                      </c:pt>
                      <c:pt idx="2">
                        <c:v>2.78</c:v>
                      </c:pt>
                      <c:pt idx="3">
                        <c:v>4.6399999999999997</c:v>
                      </c:pt>
                      <c:pt idx="4">
                        <c:v>7.74</c:v>
                      </c:pt>
                      <c:pt idx="5">
                        <c:v>12.91</c:v>
                      </c:pt>
                      <c:pt idx="6">
                        <c:v>21.54</c:v>
                      </c:pt>
                      <c:pt idx="7">
                        <c:v>35.94</c:v>
                      </c:pt>
                      <c:pt idx="8">
                        <c:v>59.95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Foglio1!$C$5:$C$16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4.33092117069907</c:v>
                      </c:pt>
                      <c:pt idx="1">
                        <c:v>4.5102108214375489</c:v>
                      </c:pt>
                      <c:pt idx="2">
                        <c:v>4.6805903679917868</c:v>
                      </c:pt>
                      <c:pt idx="3">
                        <c:v>4.8400833909055772</c:v>
                      </c:pt>
                      <c:pt idx="4">
                        <c:v>4.9863316305655783</c:v>
                      </c:pt>
                      <c:pt idx="5">
                        <c:v>5.1199443048701241</c:v>
                      </c:pt>
                      <c:pt idx="6">
                        <c:v>5.2341769113594996</c:v>
                      </c:pt>
                      <c:pt idx="7">
                        <c:v>5.3280235830081688</c:v>
                      </c:pt>
                      <c:pt idx="8">
                        <c:v>5.3837678651052183</c:v>
                      </c:pt>
                      <c:pt idx="9">
                        <c:v>5.3963194808571213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F5A-4FF5-8160-8D60C9A0357C}"/>
                  </c:ext>
                </c:extLst>
              </c15:ser>
            </c15:filteredScatterSeries>
          </c:ext>
        </c:extLst>
      </c:scatterChart>
      <c:valAx>
        <c:axId val="172299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Iout/2</a:t>
                </a:r>
                <a:r>
                  <a:rPr lang="it-IT" baseline="0"/>
                  <a:t> [nA]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208"/>
        <c:crosses val="autoZero"/>
        <c:crossBetween val="midCat"/>
      </c:valAx>
      <c:valAx>
        <c:axId val="17229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THD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2"/>
          <c:tx>
            <c:strRef>
              <c:f>Foglio1!$C$4</c:f>
              <c:strCache>
                <c:ptCount val="1"/>
                <c:pt idx="0">
                  <c:v> ENOB [bit]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Foglio1!$F$5:$F$14</c:f>
              <c:numCache>
                <c:formatCode>General</c:formatCode>
                <c:ptCount val="10"/>
                <c:pt idx="0">
                  <c:v>1</c:v>
                </c:pt>
                <c:pt idx="1">
                  <c:v>1.67</c:v>
                </c:pt>
                <c:pt idx="2">
                  <c:v>2.78</c:v>
                </c:pt>
                <c:pt idx="3">
                  <c:v>4.6399999999999997</c:v>
                </c:pt>
                <c:pt idx="4">
                  <c:v>7.74</c:v>
                </c:pt>
                <c:pt idx="5">
                  <c:v>12.91</c:v>
                </c:pt>
                <c:pt idx="6">
                  <c:v>21.54</c:v>
                </c:pt>
                <c:pt idx="7">
                  <c:v>35.94</c:v>
                </c:pt>
                <c:pt idx="8">
                  <c:v>59.95</c:v>
                </c:pt>
                <c:pt idx="9">
                  <c:v>100</c:v>
                </c:pt>
              </c:numCache>
            </c:numRef>
          </c:xVal>
          <c:yVal>
            <c:numRef>
              <c:f>Foglio1!$C$5:$C$14</c:f>
              <c:numCache>
                <c:formatCode>General</c:formatCode>
                <c:ptCount val="10"/>
                <c:pt idx="0">
                  <c:v>4.33092117069907</c:v>
                </c:pt>
                <c:pt idx="1">
                  <c:v>4.5102108214375489</c:v>
                </c:pt>
                <c:pt idx="2">
                  <c:v>4.6805903679917868</c:v>
                </c:pt>
                <c:pt idx="3">
                  <c:v>4.8400833909055772</c:v>
                </c:pt>
                <c:pt idx="4">
                  <c:v>4.9863316305655783</c:v>
                </c:pt>
                <c:pt idx="5">
                  <c:v>5.1199443048701241</c:v>
                </c:pt>
                <c:pt idx="6">
                  <c:v>5.2341769113594996</c:v>
                </c:pt>
                <c:pt idx="7">
                  <c:v>5.3280235830081688</c:v>
                </c:pt>
                <c:pt idx="8">
                  <c:v>5.3837678651052183</c:v>
                </c:pt>
                <c:pt idx="9">
                  <c:v>5.3963194808571213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B6-42F1-AAC4-0D865082D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990688"/>
        <c:axId val="17229902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Foglio1!$E$4</c15:sqref>
                        </c15:formulaRef>
                      </c:ext>
                    </c:extLst>
                    <c:strCache>
                      <c:ptCount val="1"/>
                      <c:pt idx="0">
                        <c:v>SNR [dB]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1.67</c:v>
                      </c:pt>
                      <c:pt idx="2">
                        <c:v>2.78</c:v>
                      </c:pt>
                      <c:pt idx="3">
                        <c:v>4.6399999999999997</c:v>
                      </c:pt>
                      <c:pt idx="4">
                        <c:v>7.74</c:v>
                      </c:pt>
                      <c:pt idx="5">
                        <c:v>12.91</c:v>
                      </c:pt>
                      <c:pt idx="6">
                        <c:v>21.54</c:v>
                      </c:pt>
                      <c:pt idx="7">
                        <c:v>35.94</c:v>
                      </c:pt>
                      <c:pt idx="8">
                        <c:v>59.95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Foglio1!$E$5:$E$16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28.11</c:v>
                      </c:pt>
                      <c:pt idx="1">
                        <c:v>29.26</c:v>
                      </c:pt>
                      <c:pt idx="2">
                        <c:v>30.4</c:v>
                      </c:pt>
                      <c:pt idx="3">
                        <c:v>31.52</c:v>
                      </c:pt>
                      <c:pt idx="4">
                        <c:v>32.6</c:v>
                      </c:pt>
                      <c:pt idx="5">
                        <c:v>33.630000000000003</c:v>
                      </c:pt>
                      <c:pt idx="6">
                        <c:v>34.56</c:v>
                      </c:pt>
                      <c:pt idx="7">
                        <c:v>35.42</c:v>
                      </c:pt>
                      <c:pt idx="8">
                        <c:v>36.17</c:v>
                      </c:pt>
                      <c:pt idx="9">
                        <c:v>36.869999999999997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CB6-42F1-AAC4-0D865082D4D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Foglio1!$D$4</c15:sqref>
                        </c15:formulaRef>
                      </c:ext>
                    </c:extLst>
                    <c:strCache>
                      <c:ptCount val="1"/>
                      <c:pt idx="0">
                        <c:v>THD [dB]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1.67</c:v>
                      </c:pt>
                      <c:pt idx="2">
                        <c:v>2.78</c:v>
                      </c:pt>
                      <c:pt idx="3">
                        <c:v>4.6399999999999997</c:v>
                      </c:pt>
                      <c:pt idx="4">
                        <c:v>7.74</c:v>
                      </c:pt>
                      <c:pt idx="5">
                        <c:v>12.91</c:v>
                      </c:pt>
                      <c:pt idx="6">
                        <c:v>21.54</c:v>
                      </c:pt>
                      <c:pt idx="7">
                        <c:v>35.94</c:v>
                      </c:pt>
                      <c:pt idx="8">
                        <c:v>59.95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Foglio1!$D$5:$D$16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-39.909999999999997</c:v>
                      </c:pt>
                      <c:pt idx="1">
                        <c:v>-40.04</c:v>
                      </c:pt>
                      <c:pt idx="2">
                        <c:v>-39.89</c:v>
                      </c:pt>
                      <c:pt idx="3">
                        <c:v>-39.64</c:v>
                      </c:pt>
                      <c:pt idx="4">
                        <c:v>-39.409999999999997</c:v>
                      </c:pt>
                      <c:pt idx="5">
                        <c:v>-39.270000000000003</c:v>
                      </c:pt>
                      <c:pt idx="6">
                        <c:v>-39.17</c:v>
                      </c:pt>
                      <c:pt idx="7">
                        <c:v>-38.979999999999997</c:v>
                      </c:pt>
                      <c:pt idx="8">
                        <c:v>-38.5</c:v>
                      </c:pt>
                      <c:pt idx="9">
                        <c:v>-37.68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CB6-42F1-AAC4-0D865082D4DC}"/>
                  </c:ext>
                </c:extLst>
              </c15:ser>
            </c15:filteredScatterSeries>
          </c:ext>
        </c:extLst>
      </c:scatterChart>
      <c:valAx>
        <c:axId val="172299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Iout/2 [nA]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208"/>
        <c:crosses val="autoZero"/>
        <c:crossBetween val="midCat"/>
      </c:valAx>
      <c:valAx>
        <c:axId val="1722990208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ENOB [bit]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99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</xdr:row>
      <xdr:rowOff>175260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CCDF1EE-631E-12F5-B7EC-95113227C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236220</xdr:colOff>
      <xdr:row>1</xdr:row>
      <xdr:rowOff>175260</xdr:rowOff>
    </xdr:from>
    <xdr:to>
      <xdr:col>22</xdr:col>
      <xdr:colOff>541020</xdr:colOff>
      <xdr:row>21</xdr:row>
      <xdr:rowOff>41910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A9B2F93-98A2-4487-8880-0C17728C0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548640</xdr:colOff>
      <xdr:row>1</xdr:row>
      <xdr:rowOff>175260</xdr:rowOff>
    </xdr:from>
    <xdr:to>
      <xdr:col>30</xdr:col>
      <xdr:colOff>243840</xdr:colOff>
      <xdr:row>21</xdr:row>
      <xdr:rowOff>41910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6D9DBA1-D28F-401C-8AC9-45B7880E7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2DFF-2259-4E58-8230-22C36CF79D47}">
  <dimension ref="B4:F14"/>
  <sheetViews>
    <sheetView tabSelected="1" workbookViewId="0">
      <selection activeCell="G16" sqref="G16"/>
    </sheetView>
  </sheetViews>
  <sheetFormatPr defaultRowHeight="14.4" x14ac:dyDescent="0.3"/>
  <sheetData>
    <row r="4" spans="2:6" x14ac:dyDescent="0.3">
      <c r="C4" t="s">
        <v>2</v>
      </c>
      <c r="D4" t="s">
        <v>1</v>
      </c>
      <c r="E4" t="s">
        <v>0</v>
      </c>
      <c r="F4" t="s">
        <v>3</v>
      </c>
    </row>
    <row r="5" spans="2:6" x14ac:dyDescent="0.3">
      <c r="B5">
        <f>10*LOG10(1/(10^(-E5/10)+10^(D5/10)))</f>
        <v>27.832145447608401</v>
      </c>
      <c r="C5">
        <f>(B5-1.76)/6.02</f>
        <v>4.33092117069907</v>
      </c>
      <c r="D5">
        <v>-39.909999999999997</v>
      </c>
      <c r="E5">
        <v>28.11</v>
      </c>
      <c r="F5">
        <v>1</v>
      </c>
    </row>
    <row r="6" spans="2:6" x14ac:dyDescent="0.3">
      <c r="B6">
        <f t="shared" ref="B6:B14" si="0">10*LOG10(1/(10^(-E6/10)+10^(D6/10)))</f>
        <v>28.911469145054042</v>
      </c>
      <c r="C6">
        <f t="shared" ref="C6:C14" si="1">(B6-1.76)/6.02</f>
        <v>4.5102108214375489</v>
      </c>
      <c r="D6">
        <v>-40.04</v>
      </c>
      <c r="E6">
        <v>29.26</v>
      </c>
      <c r="F6">
        <v>1.67</v>
      </c>
    </row>
    <row r="7" spans="2:6" x14ac:dyDescent="0.3">
      <c r="B7">
        <f t="shared" si="0"/>
        <v>29.937154015310558</v>
      </c>
      <c r="C7">
        <f t="shared" si="1"/>
        <v>4.6805903679917868</v>
      </c>
      <c r="D7">
        <v>-39.89</v>
      </c>
      <c r="E7">
        <v>30.4</v>
      </c>
      <c r="F7">
        <v>2.78</v>
      </c>
    </row>
    <row r="8" spans="2:6" x14ac:dyDescent="0.3">
      <c r="B8">
        <f t="shared" si="0"/>
        <v>30.897302013251576</v>
      </c>
      <c r="C8">
        <f t="shared" si="1"/>
        <v>4.8400833909055772</v>
      </c>
      <c r="D8">
        <v>-39.64</v>
      </c>
      <c r="E8">
        <v>31.52</v>
      </c>
      <c r="F8">
        <v>4.6399999999999997</v>
      </c>
    </row>
    <row r="9" spans="2:6" x14ac:dyDescent="0.3">
      <c r="B9">
        <f t="shared" si="0"/>
        <v>31.777716416004779</v>
      </c>
      <c r="C9">
        <f t="shared" si="1"/>
        <v>4.9863316305655783</v>
      </c>
      <c r="D9">
        <v>-39.409999999999997</v>
      </c>
      <c r="E9">
        <v>32.6</v>
      </c>
      <c r="F9">
        <v>7.74</v>
      </c>
    </row>
    <row r="10" spans="2:6" x14ac:dyDescent="0.3">
      <c r="B10">
        <f t="shared" si="0"/>
        <v>32.582064715318147</v>
      </c>
      <c r="C10">
        <f t="shared" si="1"/>
        <v>5.1199443048701241</v>
      </c>
      <c r="D10">
        <v>-39.270000000000003</v>
      </c>
      <c r="E10">
        <v>33.630000000000003</v>
      </c>
      <c r="F10">
        <v>12.91</v>
      </c>
    </row>
    <row r="11" spans="2:6" x14ac:dyDescent="0.3">
      <c r="B11">
        <f t="shared" si="0"/>
        <v>33.269745006384184</v>
      </c>
      <c r="C11">
        <f t="shared" si="1"/>
        <v>5.2341769113594996</v>
      </c>
      <c r="D11">
        <v>-39.17</v>
      </c>
      <c r="E11">
        <v>34.56</v>
      </c>
      <c r="F11">
        <v>21.54</v>
      </c>
    </row>
    <row r="12" spans="2:6" x14ac:dyDescent="0.3">
      <c r="B12">
        <f t="shared" si="0"/>
        <v>33.834701969709172</v>
      </c>
      <c r="C12">
        <f t="shared" si="1"/>
        <v>5.3280235830081688</v>
      </c>
      <c r="D12">
        <v>-38.979999999999997</v>
      </c>
      <c r="E12">
        <v>35.42</v>
      </c>
      <c r="F12">
        <v>35.94</v>
      </c>
    </row>
    <row r="13" spans="2:6" x14ac:dyDescent="0.3">
      <c r="B13">
        <f t="shared" si="0"/>
        <v>34.170282547933411</v>
      </c>
      <c r="C13">
        <f t="shared" si="1"/>
        <v>5.3837678651052183</v>
      </c>
      <c r="D13">
        <v>-38.5</v>
      </c>
      <c r="E13">
        <v>36.17</v>
      </c>
      <c r="F13">
        <v>59.95</v>
      </c>
    </row>
    <row r="14" spans="2:6" x14ac:dyDescent="0.3">
      <c r="B14">
        <f t="shared" si="0"/>
        <v>34.245843274759864</v>
      </c>
      <c r="C14">
        <f t="shared" si="1"/>
        <v>5.3963194808571213</v>
      </c>
      <c r="D14">
        <v>-37.68</v>
      </c>
      <c r="E14">
        <v>36.869999999999997</v>
      </c>
      <c r="F14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Aliberti</dc:creator>
  <cp:lastModifiedBy>Dario Aliberti</cp:lastModifiedBy>
  <dcterms:created xsi:type="dcterms:W3CDTF">2026-01-29T17:37:30Z</dcterms:created>
  <dcterms:modified xsi:type="dcterms:W3CDTF">2026-01-29T23:29:08Z</dcterms:modified>
</cp:coreProperties>
</file>